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txa SEO" sheetId="1" state="visible" r:id="rId3"/>
    <sheet name="Criteris Yoa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<sst xmlns="http://schemas.openxmlformats.org/spreadsheetml/2006/main" count="68" uniqueCount="68">
  <si>
    <t xml:space="preserve">Pàgina</t>
  </si>
  <si>
    <t xml:space="preserve">URL (slug)</t>
  </si>
  <si>
    <t xml:space="preserve">Keyphrase principal</t>
  </si>
  <si>
    <t xml:space="preserve">Títol SEO (Yoast)</t>
  </si>
  <si>
    <t xml:space="preserve">Car. títol (màx. 60)</t>
  </si>
  <si>
    <t xml:space="preserve">Meta descripció (Yoast)</t>
  </si>
  <si>
    <t xml:space="preserve">Car. meta (120–156)</t>
  </si>
  <si>
    <t xml:space="preserve">Keyphrase a l'inici</t>
  </si>
  <si>
    <t xml:space="preserve">Estat</t>
  </si>
  <si>
    <t xml:space="preserve">Inici</t>
  </si>
  <si>
    <t xml:space="preserve">/</t>
  </si>
  <si>
    <t xml:space="preserve">tancaments d'alumini a Figueres</t>
  </si>
  <si>
    <t xml:space="preserve">Tancaments d'alumini a Figueres | Aluminis l'Albera</t>
  </si>
  <si>
    <t xml:space="preserve">Tancaments d'alumini a Figueres per a particulars i empreses: finestres, portes, persianes i pèrgoles a mida, amb instal·lació pròpia. Demana pressupost.</t>
  </si>
  <si>
    <t xml:space="preserve">Productes</t>
  </si>
  <si>
    <t xml:space="preserve">/productes/</t>
  </si>
  <si>
    <t xml:space="preserve">finestres i portes d'alumini</t>
  </si>
  <si>
    <t xml:space="preserve">Finestres i portes d'alumini a mida | Aluminis l'Albera</t>
  </si>
  <si>
    <t xml:space="preserve">Finestres i portes d'alumini, persianes, pèrgoles bioclimàtiques, baranes, mampares i sostres fets a mida. Descobreix tots els nostres productes.</t>
  </si>
  <si>
    <t xml:space="preserve">Projectes</t>
  </si>
  <si>
    <t xml:space="preserve">/projectes/</t>
  </si>
  <si>
    <t xml:space="preserve">projectes de portes d'entrada</t>
  </si>
  <si>
    <t xml:space="preserve">Projectes de portes d'entrada a mida | Aluminis l'Albera</t>
  </si>
  <si>
    <t xml:space="preserve">Projectes de portes d'entrada d'alumini fetes a mida, amb disseny, colors i acabats personalitzats. Mira les galeries i demana pressupost sense compromís.</t>
  </si>
  <si>
    <t xml:space="preserve">Sobre nosaltres</t>
  </si>
  <si>
    <t xml:space="preserve">/sobre-nosaltres/</t>
  </si>
  <si>
    <t xml:space="preserve">empresa de tancaments d'alumini</t>
  </si>
  <si>
    <t xml:space="preserve">Empresa de tancaments d'alumini a Girona | Aluminis l'Albera</t>
  </si>
  <si>
    <t xml:space="preserve">Empresa de tancaments d'alumini i PVC amb més de 30 anys d'experiència al sector. Coneix en David i en Josep Maria, socis fundadors d'Aluminis l'Albera.</t>
  </si>
  <si>
    <t xml:space="preserve">Contacte</t>
  </si>
  <si>
    <t xml:space="preserve">/contacte/</t>
  </si>
  <si>
    <t xml:space="preserve">pressupost de tancaments d'alumini</t>
  </si>
  <si>
    <t xml:space="preserve">Pressupost de tancaments d'alumini | Aluminis l'Albera</t>
  </si>
  <si>
    <t xml:space="preserve">Pressupost de tancaments d'alumini sense compromís. Truca al 600 83 19 36 o visita'ns al carrer Arquitecte Ricard Giralt, Figueres. Matins de 9 a 14 h.</t>
  </si>
  <si>
    <t xml:space="preserve">Finestres RPT 55</t>
  </si>
  <si>
    <t xml:space="preserve">/finestres-rpt-55/</t>
  </si>
  <si>
    <t xml:space="preserve">finestres RPT 55</t>
  </si>
  <si>
    <t xml:space="preserve">Finestres RPT 55 amb pont tèrmic | Aluminis l'Albera</t>
  </si>
  <si>
    <t xml:space="preserve">Finestres RPT 55 d'alumini amb trencament de pont tèrmic: fins a 45 dB d'aïllament acústic i gran estalvi energètic. Demana pressupost a Aluminis l'Albera.</t>
  </si>
  <si>
    <t xml:space="preserve">Galeria portes particular</t>
  </si>
  <si>
    <t xml:space="preserve">/portes-entrada-particular/</t>
  </si>
  <si>
    <t xml:space="preserve">portes d'entrada particular</t>
  </si>
  <si>
    <t xml:space="preserve">Portes d'entrada particular a mida | Aluminis l'Albera</t>
  </si>
  <si>
    <t xml:space="preserve">Portes d'entrada particular d'alumini: descobreix la galeria de dissenys, colors i acabats per a habitatges. Fetes a mida i amb instal·lació professional.</t>
  </si>
  <si>
    <t xml:space="preserve">Galeria portes OCULTEC</t>
  </si>
  <si>
    <t xml:space="preserve">/portes-entrada-ocultec/</t>
  </si>
  <si>
    <t xml:space="preserve">portes d'entrada OCULTEC</t>
  </si>
  <si>
    <t xml:space="preserve">Portes d'entrada OCULTEC a mida | Aluminis l'Albera</t>
  </si>
  <si>
    <t xml:space="preserve">Portes d'entrada OCULTEC per a habitatges: mira la galeria amb 21 fotografies de dissenys moderns i personalitzats. Demana pressupost sense compromís.</t>
  </si>
  <si>
    <t xml:space="preserve">Galeria portes comercial</t>
  </si>
  <si>
    <t xml:space="preserve">/portes-entrada-comercial/</t>
  </si>
  <si>
    <t xml:space="preserve">portes d'entrada comercial</t>
  </si>
  <si>
    <t xml:space="preserve">Portes d'entrada comercial per a locals | Aluminis l'Albera</t>
  </si>
  <si>
    <t xml:space="preserve">Portes d'entrada comercial d'alumini per a botigues, oficines i locals: seguretat, visibilitat i disseny. Mira la galeria i demana pressupost a Figueres.</t>
  </si>
  <si>
    <t xml:space="preserve">Elemento</t>
  </si>
  <si>
    <t xml:space="preserve">Criterio aplicado</t>
  </si>
  <si>
    <t xml:space="preserve">Keyphrase</t>
  </si>
  <si>
    <t xml:space="preserve">Una distinta por página (evita el aviso de keyphrase duplicada). Aparece al principio del título y de la meta descripción.</t>
  </si>
  <si>
    <t xml:space="preserve">Títol SEO</t>
  </si>
  <si>
    <t xml:space="preserve">Entre 50 y 60 caracteres, con la marca "Aluminis l'Albera" al final tras " | ".</t>
  </si>
  <si>
    <t xml:space="preserve">Meta descripció</t>
  </si>
  <si>
    <t xml:space="preserve">Entre 120 y 156 caracteres (rango verde de Yoast), con la keyphrase al inicio y una llamada a la acción.</t>
  </si>
  <si>
    <t xml:space="preserve">Idioma</t>
  </si>
  <si>
    <t xml:space="preserve">Catalán, como el sitio actual.</t>
  </si>
  <si>
    <t xml:space="preserve">Datos</t>
  </si>
  <si>
    <t xml:space="preserve">Teléfono, dirección, horario y trayectoria de la empresa tomados de aluminisalbera.com.</t>
  </si>
  <si>
    <t xml:space="preserve">Pendiente</t>
  </si>
  <si>
    <t xml:space="preserve">No se han consultado volúmenes de búsqueda: validar las keyphrases con Search Console o una herramienta de keywords.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</si>
</sst>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7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8.3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n">
        <f aca="false">LEN(D2)</f>
        <v>51</v>
      </c>
      <c r="F2" s="2" t="s">
        <v>13</v>
      </c>
      <c r="G2" s="3" t="n">
        <f aca="false">LEN(F2)</f>
        <v>153</v>
      </c>
      <c r="H2" s="4" t="str">
        <f aca="false">IF(AND(LEFT(LOWER(D2),LEN(C2))=LOWER(C2),LEFT(LOWER(F2),LEN(C2))=LOWER(C2)),"Sí","No")</f>
        <v>Sí</v>
      </c>
      <c r="I2" s="4" t="str">
        <f aca="false">IF(AND(E2&gt;=50,E2&lt;=60,G2&gt;=120,G2&lt;=156,H2="Sí"),"OK","Revisar")</f>
        <v>OK</v>
      </c>
    </row>
    <row r="3" customFormat="false" ht="28.3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3" t="n">
        <f aca="false">LEN(D3)</f>
        <v>55</v>
      </c>
      <c r="F3" s="2" t="s">
        <v>18</v>
      </c>
      <c r="G3" s="3" t="n">
        <f aca="false">LEN(F3)</f>
        <v>145</v>
      </c>
      <c r="H3" s="4" t="str">
        <f aca="false">IF(AND(LEFT(LOWER(D3),LEN(C3))=LOWER(C3),LEFT(LOWER(F3),LEN(C3))=LOWER(C3)),"Sí","No")</f>
        <v>Sí</v>
      </c>
      <c r="I3" s="4" t="str">
        <f aca="false">IF(AND(E3&gt;=50,E3&lt;=60,G3&gt;=120,G3&lt;=156,H3="Sí"),"OK","Revisar")</f>
        <v>OK</v>
      </c>
    </row>
    <row r="4" customFormat="false" ht="28.3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3" t="n">
        <f aca="false">LEN(D4)</f>
        <v>56</v>
      </c>
      <c r="F4" s="2" t="s">
        <v>23</v>
      </c>
      <c r="G4" s="3" t="n">
        <f aca="false">LEN(F4)</f>
        <v>154</v>
      </c>
      <c r="H4" s="4" t="str">
        <f aca="false">IF(AND(LEFT(LOWER(D4),LEN(C4))=LOWER(C4),LEFT(LOWER(F4),LEN(C4))=LOWER(C4)),"Sí","No")</f>
        <v>Sí</v>
      </c>
      <c r="I4" s="4" t="str">
        <f aca="false">IF(AND(E4&gt;=50,E4&lt;=60,G4&gt;=120,G4&lt;=156,H4="Sí"),"OK","Revisar")</f>
        <v>OK</v>
      </c>
    </row>
    <row r="5" customFormat="false" ht="28.3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3" t="n">
        <f aca="false">LEN(D5)</f>
        <v>60</v>
      </c>
      <c r="F5" s="2" t="s">
        <v>28</v>
      </c>
      <c r="G5" s="3" t="n">
        <f aca="false">LEN(F5)</f>
        <v>152</v>
      </c>
      <c r="H5" s="4" t="str">
        <f aca="false">IF(AND(LEFT(LOWER(D5),LEN(C5))=LOWER(C5),LEFT(LOWER(F5),LEN(C5))=LOWER(C5)),"Sí","No")</f>
        <v>Sí</v>
      </c>
      <c r="I5" s="4" t="str">
        <f aca="false">IF(AND(E5&gt;=50,E5&lt;=60,G5&gt;=120,G5&lt;=156,H5="Sí"),"OK","Revisar")</f>
        <v>OK</v>
      </c>
    </row>
    <row r="6" customFormat="false" ht="28.3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3" t="n">
        <f aca="false">LEN(D6)</f>
        <v>54</v>
      </c>
      <c r="F6" s="2" t="s">
        <v>33</v>
      </c>
      <c r="G6" s="3" t="n">
        <f aca="false">LEN(F6)</f>
        <v>151</v>
      </c>
      <c r="H6" s="4" t="str">
        <f aca="false">IF(AND(LEFT(LOWER(D6),LEN(C6))=LOWER(C6),LEFT(LOWER(F6),LEN(C6))=LOWER(C6)),"Sí","No")</f>
        <v>Sí</v>
      </c>
      <c r="I6" s="4" t="str">
        <f aca="false">IF(AND(E6&gt;=50,E6&lt;=60,G6&gt;=120,G6&lt;=156,H6="Sí"),"OK","Revisar")</f>
        <v>OK</v>
      </c>
    </row>
    <row r="7" customFormat="false" ht="41.7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3" t="n">
        <f aca="false">LEN(D7)</f>
        <v>52</v>
      </c>
      <c r="F7" s="2" t="s">
        <v>38</v>
      </c>
      <c r="G7" s="3" t="n">
        <f aca="false">LEN(F7)</f>
        <v>155</v>
      </c>
      <c r="H7" s="4" t="str">
        <f aca="false">IF(AND(LEFT(LOWER(D7),LEN(C7))=LOWER(C7),LEFT(LOWER(F7),LEN(C7))=LOWER(C7)),"Sí","No")</f>
        <v>Sí</v>
      </c>
      <c r="I7" s="4" t="str">
        <f aca="false">IF(AND(E7&gt;=50,E7&lt;=60,G7&gt;=120,G7&lt;=156,H7="Sí"),"OK","Revisar")</f>
        <v>OK</v>
      </c>
    </row>
    <row r="8" customFormat="false" ht="28.3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3" t="n">
        <f aca="false">LEN(D8)</f>
        <v>54</v>
      </c>
      <c r="F8" s="2" t="s">
        <v>43</v>
      </c>
      <c r="G8" s="3" t="n">
        <f aca="false">LEN(F8)</f>
        <v>154</v>
      </c>
      <c r="H8" s="4" t="str">
        <f aca="false">IF(AND(LEFT(LOWER(D8),LEN(C8))=LOWER(C8),LEFT(LOWER(F8),LEN(C8))=LOWER(C8)),"Sí","No")</f>
        <v>Sí</v>
      </c>
      <c r="I8" s="4" t="str">
        <f aca="false">IF(AND(E8&gt;=50,E8&lt;=60,G8&gt;=120,G8&lt;=156,H8="Sí"),"OK","Revisar")</f>
        <v>OK</v>
      </c>
    </row>
    <row r="9" customFormat="false" ht="28.3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3" t="n">
        <f aca="false">LEN(D9)</f>
        <v>51</v>
      </c>
      <c r="F9" s="2" t="s">
        <v>48</v>
      </c>
      <c r="G9" s="3" t="n">
        <f aca="false">LEN(F9)</f>
        <v>150</v>
      </c>
      <c r="H9" s="4" t="str">
        <f aca="false">IF(AND(LEFT(LOWER(D9),LEN(C9))=LOWER(C9),LEFT(LOWER(F9),LEN(C9))=LOWER(C9)),"Sí","No")</f>
        <v>Sí</v>
      </c>
      <c r="I9" s="4" t="str">
        <f aca="false">IF(AND(E9&gt;=50,E9&lt;=60,G9&gt;=120,G9&lt;=156,H9="Sí"),"OK","Revisar")</f>
        <v>OK</v>
      </c>
    </row>
    <row r="10" customFormat="false" ht="28.3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3" t="n">
        <f aca="false">LEN(D10)</f>
        <v>59</v>
      </c>
      <c r="F10" s="2" t="s">
        <v>53</v>
      </c>
      <c r="G10" s="3" t="n">
        <f aca="false">LEN(F10)</f>
        <v>153</v>
      </c>
      <c r="H10" s="4" t="str">
        <f aca="false">IF(AND(LEFT(LOWER(D10),LEN(C10))=LOWER(C10),LEFT(LOWER(F10),LEN(C10))=LOWER(C10)),"Sí","No")</f>
        <v>Sí</v>
      </c>
      <c r="I10" s="4" t="str">
        <f aca="false">IF(AND(E10&gt;=50,E10&lt;=60,G10&gt;=120,G10&lt;=156,H10="Sí"),"OK","Revisar")</f>
        <v>OK</v>
      </c>
    </row>
  </sheetData>
  <conditionalFormatting sqref="E2:E10">
    <cfRule type="expression" priority="2" aboveAverage="0" equalAverage="0" bottom="0" percent="0" rank="0" text="" dxfId="0">
      <formula>OR(E2&lt;50,E2&gt;60)</formula>
    </cfRule>
  </conditionalFormatting>
  <conditionalFormatting sqref="G2:G10">
    <cfRule type="expression" priority="3" aboveAverage="0" equalAverage="0" bottom="0" percent="0" rank="0" text="" dxfId="0">
      <formula>OR(G2&lt;120,G2&gt;156)</formula>
    </cfRule>
  </conditionalFormatting>
  <conditionalFormatting sqref="I2:I10">
    <cfRule type="cellIs" priority="4" operator="equal" aboveAverage="0" equalAverage="0" bottom="0" percent="0" rank="0" text="" dxfId="1">
      <formula>"OK"</formula>
    </cfRule>
    <cfRule type="cellIs" priority="5" operator="equal" aboveAverage="0" equalAverage="0" bottom="0" percent="0" rank="0" text="" dxfId="0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54</v>
      </c>
      <c r="B1" s="5" t="s">
        <v>55</v>
      </c>
    </row>
    <row r="2" customFormat="false" ht="15" hidden="false" customHeight="false" outlineLevel="0" collapsed="false">
      <c r="A2" s="6" t="s">
        <v>56</v>
      </c>
      <c r="B2" s="6" t="s">
        <v>57</v>
      </c>
    </row>
    <row r="3" customFormat="false" ht="15" hidden="false" customHeight="false" outlineLevel="0" collapsed="false">
      <c r="A3" s="6" t="s">
        <v>58</v>
      </c>
      <c r="B3" s="6" t="s">
        <v>59</v>
      </c>
    </row>
    <row r="4" customFormat="false" ht="15" hidden="false" customHeight="false" outlineLevel="0" collapsed="false">
      <c r="A4" s="6" t="s">
        <v>60</v>
      </c>
      <c r="B4" s="6" t="s">
        <v>61</v>
      </c>
    </row>
    <row r="5" customFormat="false" ht="15" hidden="false" customHeight="false" outlineLevel="0" collapsed="false">
      <c r="A5" s="6" t="s">
        <v>62</v>
      </c>
      <c r="B5" s="6" t="s">
        <v>63</v>
      </c>
    </row>
    <row r="6" customFormat="false" ht="15" hidden="false" customHeight="false" outlineLevel="0" collapsed="false">
      <c r="A6" s="6" t="s">
        <v>64</v>
      </c>
      <c r="B6" s="6" t="s">
        <v>65</v>
      </c>
    </row>
    <row r="7" customFormat="false" ht="15" hidden="false" customHeight="false" outlineLevel="0" collapsed="false">
      <c r="A7" s="6" t="s">
        <v>66</v>
      </c>
      <c r="B7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2026-10-12T02:56:05Z</dcterms:created>
  <dc:creator>openpyxl</dc:creator>
  <dc:description/>
  <dc:language>en-US</dc:language>
  <cp:lastModifiedBy/>
  <dcterms:modified xsi:type="dcterms:W3CDTF">2026-10-12T02:56:05Z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